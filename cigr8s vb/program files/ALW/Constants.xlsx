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W\Data\"/>
    </mc:Choice>
  </mc:AlternateContent>
  <xr:revisionPtr revIDLastSave="0" documentId="13_ncr:1_{4484FB23-5C41-4E34-8D8D-98DB1F2E5728}" xr6:coauthVersionLast="47" xr6:coauthVersionMax="47" xr10:uidLastSave="{00000000-0000-0000-0000-000000000000}"/>
  <bookViews>
    <workbookView xWindow="-120" yWindow="-120" windowWidth="29040" windowHeight="15720" xr2:uid="{32D64DA8-D2B9-4167-919F-FD82C8AE48EC}"/>
  </bookViews>
  <sheets>
    <sheet name="Data" sheetId="1" r:id="rId1"/>
  </sheets>
  <definedNames>
    <definedName name="_xlnm._FilterDatabase" localSheetId="0" hidden="1">Data!#REF!</definedName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/>
  <c r="E1" i="1"/>
  <c r="F1" i="1"/>
  <c r="G1" i="1"/>
  <c r="H1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Balaji Rao</author>
    <author>Author</author>
  </authors>
  <commentList>
    <comment ref="E5" authorId="0" shapeId="0" xr:uid="{7CFB37FB-717C-4475-A777-C3A7D40EEF8B}">
      <text>
        <r>
          <rPr>
            <b/>
            <sz val="9"/>
            <color indexed="81"/>
            <rFont val="Tahoma"/>
            <family val="2"/>
          </rPr>
          <t>Balaji Rao:</t>
        </r>
        <r>
          <rPr>
            <sz val="9"/>
            <color indexed="81"/>
            <rFont val="Tahoma"/>
            <family val="2"/>
          </rPr>
          <t xml:space="preserve">
85 as per files</t>
        </r>
      </text>
    </comment>
    <comment ref="E20" authorId="0" shapeId="0" xr:uid="{06BA8261-12D2-411B-86CD-3FFFD5CBDA80}">
      <text>
        <r>
          <rPr>
            <b/>
            <sz val="9"/>
            <color indexed="81"/>
            <rFont val="Tahoma"/>
            <family val="2"/>
          </rPr>
          <t>Balaji Rao:</t>
        </r>
        <r>
          <rPr>
            <sz val="9"/>
            <color indexed="81"/>
            <rFont val="Tahoma"/>
            <family val="2"/>
          </rPr>
          <t xml:space="preserve">
89 as per files</t>
        </r>
      </text>
    </comment>
    <comment ref="G2406" authorId="1" shapeId="0" xr:uid="{621A120C-59CF-4290-A64C-9418DE9853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SKU is in KS20 format to match the barcode registered in FTA</t>
        </r>
      </text>
    </comment>
    <comment ref="G2679" authorId="1" shapeId="0" xr:uid="{FDB144FA-E79A-4384-B153-627B51E580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SKU is in KS20 format to match the barcode registered in FTA</t>
        </r>
      </text>
    </comment>
  </commentList>
</comments>
</file>

<file path=xl/sharedStrings.xml><?xml version="1.0" encoding="utf-8"?>
<sst xmlns="http://schemas.openxmlformats.org/spreadsheetml/2006/main" count="99" uniqueCount="74">
  <si>
    <t xml:space="preserve">Format </t>
  </si>
  <si>
    <t xml:space="preserve">Plug Length </t>
  </si>
  <si>
    <t>Condition</t>
  </si>
  <si>
    <t>Selection Criteria</t>
  </si>
  <si>
    <t>Constant</t>
  </si>
  <si>
    <t>Constants</t>
  </si>
  <si>
    <t>Value</t>
  </si>
  <si>
    <t>KS10SE</t>
  </si>
  <si>
    <t>KS10SE,21,FALSE</t>
  </si>
  <si>
    <t>Alpha</t>
  </si>
  <si>
    <t>KS10SE,21,TRUE</t>
  </si>
  <si>
    <t>Beta</t>
  </si>
  <si>
    <t>QS</t>
  </si>
  <si>
    <t>KS10SE,25,FALSE</t>
  </si>
  <si>
    <t>Delta</t>
  </si>
  <si>
    <t>KS10SE,25,TRUE</t>
  </si>
  <si>
    <t>Dust Moisture</t>
  </si>
  <si>
    <t>KS10SE,27,FALSE</t>
  </si>
  <si>
    <t>Max VF</t>
  </si>
  <si>
    <t>KS10SE,27,TRUE</t>
  </si>
  <si>
    <t>Min PD</t>
  </si>
  <si>
    <t>KS20FP</t>
  </si>
  <si>
    <t>KS20FP,21,FALSE</t>
  </si>
  <si>
    <t>Max PD</t>
  </si>
  <si>
    <t>KS20FP,21,TRUE</t>
  </si>
  <si>
    <t>KS20FP,27,FALSE</t>
  </si>
  <si>
    <t>KS20FP,27,TRUE</t>
  </si>
  <si>
    <t>KS20RC</t>
  </si>
  <si>
    <t>KS20RC,21,FALSE</t>
  </si>
  <si>
    <t>KS20RC,21,TRUE</t>
  </si>
  <si>
    <t>KS20RC,27,FALSE</t>
  </si>
  <si>
    <t>KS20RC,27,TRUE</t>
  </si>
  <si>
    <t>KS20SE</t>
  </si>
  <si>
    <t>KS20SE,21,FALSE</t>
  </si>
  <si>
    <t>KS20SE,21,TRUE</t>
  </si>
  <si>
    <t>KS20SE,25,FALSE</t>
  </si>
  <si>
    <t>KS20SE,25,TRUE</t>
  </si>
  <si>
    <t>KS20SE,27,FALSE</t>
  </si>
  <si>
    <t>KS20SE,27,TRUE</t>
  </si>
  <si>
    <t>NS20DS</t>
  </si>
  <si>
    <t>NS20DS,27,FALSE</t>
  </si>
  <si>
    <t>NS20DS,27,TRUE</t>
  </si>
  <si>
    <t>NS20SE</t>
  </si>
  <si>
    <t>NS20SE,25,FALSE</t>
  </si>
  <si>
    <t>NS20SE,25,TRUE</t>
  </si>
  <si>
    <t>NS20SE,27,FALSE</t>
  </si>
  <si>
    <t>NS20SE,27,TRUE</t>
  </si>
  <si>
    <t>QS20RC</t>
  </si>
  <si>
    <t>QS20RC,27,FALSE</t>
  </si>
  <si>
    <t>QS20RC,27,TRUE</t>
  </si>
  <si>
    <t>SK20SP</t>
  </si>
  <si>
    <t>SK20SP,30,FALSE</t>
  </si>
  <si>
    <t>SK20SP,30,TRUE</t>
  </si>
  <si>
    <t>SL20SE</t>
  </si>
  <si>
    <t>SL20SE,30,FALSE</t>
  </si>
  <si>
    <t>SL20SE,30,TRUE</t>
  </si>
  <si>
    <t>SS20SE</t>
  </si>
  <si>
    <t>SS20SE,30,FALSE</t>
  </si>
  <si>
    <t>SS20SE,30,TRUE</t>
  </si>
  <si>
    <t>Condition:</t>
  </si>
  <si>
    <t>Nicotine &lt; 0.3</t>
  </si>
  <si>
    <t>NS/SS</t>
  </si>
  <si>
    <t>90.5 * (1 - EXP(-0.056 * (PD/No. of Cuts)))%</t>
  </si>
  <si>
    <t>SKS/SL</t>
  </si>
  <si>
    <t>92.5 * (1 - EXP(-0.056 *(PD/No. of Cuts)))%</t>
  </si>
  <si>
    <t>89 * (1 - EXP(-0.056 *(PD/No. of Cuts)))%</t>
  </si>
  <si>
    <t>KS21</t>
  </si>
  <si>
    <t>85 * (1 - EXP(-0.056 * (PD/No. of Cuts)))%</t>
  </si>
  <si>
    <t>KS25</t>
  </si>
  <si>
    <t>89 * (1 - EXP(-0.056 * (PD/No. of Cuts)))%</t>
  </si>
  <si>
    <t>KS27 (NIC&gt;0.2)</t>
  </si>
  <si>
    <t>KS (NIC&lt;0.2)</t>
  </si>
  <si>
    <t>95 * (1 - EXP(-0.056 * (PD/No. of Cuts)))%</t>
  </si>
  <si>
    <t>NCG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</si>
</sst>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164" fontId="0" fillId="5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164" fontId="1" fillId="7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9" borderId="1" xfId="0" applyNumberFormat="1" applyFill="1" applyBorder="1" applyAlignment="1">
      <alignment horizontal="center"/>
    </xf>
    <xf numFmtId="0" fontId="0" fillId="10" borderId="1" xfId="0" applyFill="1" applyBorder="1"/>
    <xf numFmtId="164" fontId="0" fillId="10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4C83-9A0C-4B99-AF46-A7871D158020}">
  <sheetPr codeName="Sheet7">
    <tabColor rgb="FF00B0F0"/>
  </sheetPr>
  <dimension ref="A1:I2679"/>
  <sheetViews>
    <sheetView tabSelected="1" zoomScale="85" zoomScaleNormal="85" workbookViewId="0">
      <selection activeCell="H11" sqref="H11"/>
    </sheetView>
  </sheetViews>
  <sheetFormatPr defaultRowHeight="15" x14ac:dyDescent="0.25"/>
  <cols>
    <col min="1" max="1" width="8" bestFit="1" customWidth="1"/>
    <col min="2" max="2" width="11.7109375" bestFit="1" customWidth="1"/>
    <col min="3" max="3" width="9.7109375" bestFit="1" customWidth="1"/>
    <col min="4" max="4" width="16.42578125" bestFit="1" customWidth="1"/>
    <col min="5" max="5" width="8.85546875" style="4" bestFit="1" customWidth="1"/>
    <col min="6" max="6" width="3" bestFit="1" customWidth="1"/>
    <col min="7" max="7" width="17" bestFit="1" customWidth="1"/>
    <col min="8" max="8" width="15.5703125" bestFit="1" customWidth="1"/>
    <col min="9" max="9" width="3" bestFit="1" customWidth="1"/>
  </cols>
  <sheetData>
    <row r="1" spans="1:9" s="2" customFormat="1" x14ac:dyDescent="0.25">
      <c r="A1" s="1">
        <v>1</v>
      </c>
      <c r="B1" s="1">
        <f t="shared" ref="B1" si="0">A1+1</f>
        <v>2</v>
      </c>
      <c r="C1" s="1">
        <f t="shared" ref="C1" si="1">B1+1</f>
        <v>3</v>
      </c>
      <c r="D1" s="1">
        <f t="shared" ref="D1" si="2">C1+1</f>
        <v>4</v>
      </c>
      <c r="E1" s="1">
        <f t="shared" ref="E1" si="3">D1+1</f>
        <v>5</v>
      </c>
      <c r="F1" s="1">
        <f t="shared" ref="F1" si="4">E1+1</f>
        <v>6</v>
      </c>
      <c r="G1" s="1">
        <f t="shared" ref="G1" si="5">F1+1</f>
        <v>7</v>
      </c>
      <c r="H1" s="1">
        <f t="shared" ref="H1" si="6">G1+1</f>
        <v>8</v>
      </c>
      <c r="I1" s="1"/>
    </row>
    <row r="2" spans="1:9" s="4" customFormat="1" x14ac:dyDescent="0.25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G2" s="5" t="s">
        <v>5</v>
      </c>
      <c r="H2" s="3" t="s">
        <v>6</v>
      </c>
      <c r="I2"/>
    </row>
    <row r="3" spans="1:9" x14ac:dyDescent="0.25">
      <c r="A3" s="7" t="s">
        <v>7</v>
      </c>
      <c r="B3" s="6">
        <v>21</v>
      </c>
      <c r="C3" s="8" t="b">
        <v>0</v>
      </c>
      <c r="D3" s="9" t="s">
        <v>8</v>
      </c>
      <c r="E3" s="10">
        <v>85</v>
      </c>
      <c r="G3" s="11" t="s">
        <v>9</v>
      </c>
      <c r="H3" s="12">
        <v>10</v>
      </c>
    </row>
    <row r="4" spans="1:9" x14ac:dyDescent="0.25">
      <c r="A4" s="14" t="s">
        <v>7</v>
      </c>
      <c r="B4" s="13">
        <v>21</v>
      </c>
      <c r="C4" s="15" t="b">
        <v>1</v>
      </c>
      <c r="D4" s="9" t="s">
        <v>10</v>
      </c>
      <c r="E4" s="16">
        <v>95</v>
      </c>
      <c r="G4" s="17" t="s">
        <v>11</v>
      </c>
      <c r="H4" s="18">
        <v>-4.2999999999999997E-2</v>
      </c>
    </row>
    <row r="5" spans="1:9" x14ac:dyDescent="0.25">
      <c r="A5" s="7" t="s">
        <v>7</v>
      </c>
      <c r="B5" s="6">
        <v>25</v>
      </c>
      <c r="C5" s="8" t="b">
        <v>0</v>
      </c>
      <c r="D5" s="19" t="s">
        <v>13</v>
      </c>
      <c r="E5" s="20">
        <v>89</v>
      </c>
      <c r="G5" s="11" t="s">
        <v>14</v>
      </c>
      <c r="H5" s="12">
        <v>-5.6000000000000001E-2</v>
      </c>
    </row>
    <row r="6" spans="1:9" x14ac:dyDescent="0.25">
      <c r="A6" s="14" t="s">
        <v>7</v>
      </c>
      <c r="B6" s="13">
        <v>25</v>
      </c>
      <c r="C6" s="15" t="b">
        <v>1</v>
      </c>
      <c r="D6" s="19" t="s">
        <v>15</v>
      </c>
      <c r="E6" s="16">
        <v>95</v>
      </c>
      <c r="G6" s="17" t="s">
        <v>16</v>
      </c>
      <c r="H6" s="18">
        <v>9</v>
      </c>
    </row>
    <row r="7" spans="1:9" x14ac:dyDescent="0.25">
      <c r="A7" s="7" t="s">
        <v>7</v>
      </c>
      <c r="B7" s="6">
        <v>27</v>
      </c>
      <c r="C7" s="8" t="b">
        <v>0</v>
      </c>
      <c r="D7" s="21" t="s">
        <v>17</v>
      </c>
      <c r="E7" s="22">
        <v>89</v>
      </c>
      <c r="G7" s="11" t="s">
        <v>18</v>
      </c>
      <c r="H7" s="12">
        <v>65</v>
      </c>
    </row>
    <row r="8" spans="1:9" x14ac:dyDescent="0.25">
      <c r="A8" s="14" t="s">
        <v>7</v>
      </c>
      <c r="B8" s="13">
        <v>27</v>
      </c>
      <c r="C8" s="15" t="b">
        <v>1</v>
      </c>
      <c r="D8" s="21" t="s">
        <v>19</v>
      </c>
      <c r="E8" s="16">
        <v>95</v>
      </c>
      <c r="G8" s="17" t="s">
        <v>20</v>
      </c>
      <c r="H8" s="18">
        <v>220</v>
      </c>
    </row>
    <row r="9" spans="1:9" x14ac:dyDescent="0.25">
      <c r="A9" s="7" t="s">
        <v>21</v>
      </c>
      <c r="B9" s="6">
        <v>21</v>
      </c>
      <c r="C9" s="8" t="b">
        <v>0</v>
      </c>
      <c r="D9" s="9" t="s">
        <v>22</v>
      </c>
      <c r="E9" s="10">
        <v>85</v>
      </c>
      <c r="G9" s="11" t="s">
        <v>23</v>
      </c>
      <c r="H9" s="12">
        <v>450</v>
      </c>
    </row>
    <row r="10" spans="1:9" x14ac:dyDescent="0.25">
      <c r="A10" s="14" t="s">
        <v>21</v>
      </c>
      <c r="B10" s="13">
        <v>21</v>
      </c>
      <c r="C10" s="15" t="b">
        <v>1</v>
      </c>
      <c r="D10" s="9" t="s">
        <v>24</v>
      </c>
      <c r="E10" s="16">
        <v>95</v>
      </c>
      <c r="G10" s="17" t="s">
        <v>73</v>
      </c>
      <c r="H10" s="18">
        <v>10000</v>
      </c>
    </row>
    <row r="11" spans="1:9" x14ac:dyDescent="0.25">
      <c r="A11" s="7" t="s">
        <v>21</v>
      </c>
      <c r="B11" s="6">
        <v>27</v>
      </c>
      <c r="C11" s="8" t="b">
        <v>0</v>
      </c>
      <c r="D11" s="21" t="s">
        <v>25</v>
      </c>
      <c r="E11" s="22">
        <v>89</v>
      </c>
    </row>
    <row r="12" spans="1:9" x14ac:dyDescent="0.25">
      <c r="A12" s="14" t="s">
        <v>21</v>
      </c>
      <c r="B12" s="13">
        <v>27</v>
      </c>
      <c r="C12" s="15" t="b">
        <v>1</v>
      </c>
      <c r="D12" s="21" t="s">
        <v>26</v>
      </c>
      <c r="E12" s="16">
        <v>95</v>
      </c>
    </row>
    <row r="13" spans="1:9" x14ac:dyDescent="0.25">
      <c r="A13" s="7" t="s">
        <v>27</v>
      </c>
      <c r="B13" s="6">
        <v>21</v>
      </c>
      <c r="C13" s="8" t="b">
        <v>0</v>
      </c>
      <c r="D13" s="9" t="s">
        <v>28</v>
      </c>
      <c r="E13" s="10">
        <v>85</v>
      </c>
    </row>
    <row r="14" spans="1:9" x14ac:dyDescent="0.25">
      <c r="A14" s="14" t="s">
        <v>27</v>
      </c>
      <c r="B14" s="13">
        <v>21</v>
      </c>
      <c r="C14" s="15" t="b">
        <v>1</v>
      </c>
      <c r="D14" s="9" t="s">
        <v>29</v>
      </c>
      <c r="E14" s="16">
        <v>95</v>
      </c>
    </row>
    <row r="15" spans="1:9" x14ac:dyDescent="0.25">
      <c r="A15" s="7" t="s">
        <v>27</v>
      </c>
      <c r="B15" s="6">
        <v>27</v>
      </c>
      <c r="C15" s="8" t="b">
        <v>0</v>
      </c>
      <c r="D15" s="21" t="s">
        <v>30</v>
      </c>
      <c r="E15" s="22">
        <v>89</v>
      </c>
    </row>
    <row r="16" spans="1:9" x14ac:dyDescent="0.25">
      <c r="A16" s="14" t="s">
        <v>27</v>
      </c>
      <c r="B16" s="13">
        <v>27</v>
      </c>
      <c r="C16" s="15" t="b">
        <v>1</v>
      </c>
      <c r="D16" s="21" t="s">
        <v>31</v>
      </c>
      <c r="E16" s="16">
        <v>95</v>
      </c>
    </row>
    <row r="17" spans="1:5" x14ac:dyDescent="0.25">
      <c r="A17" s="7" t="s">
        <v>32</v>
      </c>
      <c r="B17" s="6">
        <v>21</v>
      </c>
      <c r="C17" s="8" t="b">
        <v>0</v>
      </c>
      <c r="D17" s="9" t="s">
        <v>33</v>
      </c>
      <c r="E17" s="10">
        <v>85</v>
      </c>
    </row>
    <row r="18" spans="1:5" x14ac:dyDescent="0.25">
      <c r="A18" s="14" t="s">
        <v>32</v>
      </c>
      <c r="B18" s="13">
        <v>21</v>
      </c>
      <c r="C18" s="15" t="b">
        <v>1</v>
      </c>
      <c r="D18" s="9" t="s">
        <v>34</v>
      </c>
      <c r="E18" s="16">
        <v>95</v>
      </c>
    </row>
    <row r="19" spans="1:5" x14ac:dyDescent="0.25">
      <c r="A19" s="7" t="s">
        <v>32</v>
      </c>
      <c r="B19" s="6">
        <v>25</v>
      </c>
      <c r="C19" s="8" t="b">
        <v>0</v>
      </c>
      <c r="D19" s="19" t="s">
        <v>35</v>
      </c>
      <c r="E19" s="23">
        <v>89</v>
      </c>
    </row>
    <row r="20" spans="1:5" x14ac:dyDescent="0.25">
      <c r="A20" s="14" t="s">
        <v>32</v>
      </c>
      <c r="B20" s="13">
        <v>25</v>
      </c>
      <c r="C20" s="15" t="b">
        <v>1</v>
      </c>
      <c r="D20" s="19" t="s">
        <v>36</v>
      </c>
      <c r="E20" s="24">
        <v>95</v>
      </c>
    </row>
    <row r="21" spans="1:5" x14ac:dyDescent="0.25">
      <c r="A21" s="7" t="s">
        <v>32</v>
      </c>
      <c r="B21" s="6">
        <v>27</v>
      </c>
      <c r="C21" s="8" t="b">
        <v>0</v>
      </c>
      <c r="D21" s="21" t="s">
        <v>37</v>
      </c>
      <c r="E21" s="22">
        <v>89</v>
      </c>
    </row>
    <row r="22" spans="1:5" x14ac:dyDescent="0.25">
      <c r="A22" s="14" t="s">
        <v>32</v>
      </c>
      <c r="B22" s="13">
        <v>27</v>
      </c>
      <c r="C22" s="15" t="b">
        <v>1</v>
      </c>
      <c r="D22" s="21" t="s">
        <v>38</v>
      </c>
      <c r="E22" s="16">
        <v>95</v>
      </c>
    </row>
    <row r="23" spans="1:5" x14ac:dyDescent="0.25">
      <c r="A23" s="7" t="s">
        <v>39</v>
      </c>
      <c r="B23" s="6">
        <v>27</v>
      </c>
      <c r="C23" s="8" t="b">
        <v>0</v>
      </c>
      <c r="D23" s="14" t="s">
        <v>40</v>
      </c>
      <c r="E23" s="25">
        <v>90.5</v>
      </c>
    </row>
    <row r="24" spans="1:5" x14ac:dyDescent="0.25">
      <c r="A24" s="14" t="s">
        <v>39</v>
      </c>
      <c r="B24" s="13">
        <v>27</v>
      </c>
      <c r="C24" s="15" t="b">
        <v>1</v>
      </c>
      <c r="D24" s="14" t="s">
        <v>41</v>
      </c>
      <c r="E24" s="25">
        <v>90.5</v>
      </c>
    </row>
    <row r="25" spans="1:5" x14ac:dyDescent="0.25">
      <c r="A25" s="7" t="s">
        <v>42</v>
      </c>
      <c r="B25" s="6">
        <v>25</v>
      </c>
      <c r="C25" s="8" t="b">
        <v>0</v>
      </c>
      <c r="D25" s="14" t="s">
        <v>43</v>
      </c>
      <c r="E25" s="25">
        <v>90.5</v>
      </c>
    </row>
    <row r="26" spans="1:5" x14ac:dyDescent="0.25">
      <c r="A26" s="14" t="s">
        <v>42</v>
      </c>
      <c r="B26" s="13">
        <v>25</v>
      </c>
      <c r="C26" s="15" t="b">
        <v>1</v>
      </c>
      <c r="D26" s="14" t="s">
        <v>44</v>
      </c>
      <c r="E26" s="25">
        <v>90.5</v>
      </c>
    </row>
    <row r="27" spans="1:5" x14ac:dyDescent="0.25">
      <c r="A27" s="7" t="s">
        <v>42</v>
      </c>
      <c r="B27" s="6">
        <v>27</v>
      </c>
      <c r="C27" s="8" t="b">
        <v>0</v>
      </c>
      <c r="D27" s="14" t="s">
        <v>45</v>
      </c>
      <c r="E27" s="25">
        <v>90.5</v>
      </c>
    </row>
    <row r="28" spans="1:5" x14ac:dyDescent="0.25">
      <c r="A28" s="14" t="s">
        <v>42</v>
      </c>
      <c r="B28" s="13">
        <v>27</v>
      </c>
      <c r="C28" s="15" t="b">
        <v>1</v>
      </c>
      <c r="D28" s="14" t="s">
        <v>46</v>
      </c>
      <c r="E28" s="25">
        <v>90.5</v>
      </c>
    </row>
    <row r="29" spans="1:5" x14ac:dyDescent="0.25">
      <c r="A29" s="7" t="s">
        <v>47</v>
      </c>
      <c r="B29" s="6">
        <v>27</v>
      </c>
      <c r="C29" s="8" t="b">
        <v>0</v>
      </c>
      <c r="D29" s="26" t="s">
        <v>48</v>
      </c>
      <c r="E29" s="27">
        <v>89</v>
      </c>
    </row>
    <row r="30" spans="1:5" x14ac:dyDescent="0.25">
      <c r="A30" s="14" t="s">
        <v>47</v>
      </c>
      <c r="B30" s="13">
        <v>27</v>
      </c>
      <c r="C30" s="15" t="b">
        <v>1</v>
      </c>
      <c r="D30" s="26" t="s">
        <v>49</v>
      </c>
      <c r="E30" s="27">
        <v>89</v>
      </c>
    </row>
    <row r="31" spans="1:5" x14ac:dyDescent="0.25">
      <c r="A31" s="7" t="s">
        <v>50</v>
      </c>
      <c r="B31" s="6">
        <v>30</v>
      </c>
      <c r="C31" s="8" t="b">
        <v>0</v>
      </c>
      <c r="D31" s="14" t="s">
        <v>51</v>
      </c>
      <c r="E31" s="25">
        <v>92.5</v>
      </c>
    </row>
    <row r="32" spans="1:5" x14ac:dyDescent="0.25">
      <c r="A32" s="14" t="s">
        <v>50</v>
      </c>
      <c r="B32" s="13">
        <v>30</v>
      </c>
      <c r="C32" s="15" t="b">
        <v>1</v>
      </c>
      <c r="D32" s="14" t="s">
        <v>52</v>
      </c>
      <c r="E32" s="25">
        <v>92.5</v>
      </c>
    </row>
    <row r="33" spans="1:5" x14ac:dyDescent="0.25">
      <c r="A33" s="7" t="s">
        <v>53</v>
      </c>
      <c r="B33" s="6">
        <v>30</v>
      </c>
      <c r="C33" s="8" t="b">
        <v>0</v>
      </c>
      <c r="D33" s="26" t="s">
        <v>54</v>
      </c>
      <c r="E33" s="27">
        <v>92.5</v>
      </c>
    </row>
    <row r="34" spans="1:5" x14ac:dyDescent="0.25">
      <c r="A34" s="14" t="s">
        <v>53</v>
      </c>
      <c r="B34" s="13">
        <v>30</v>
      </c>
      <c r="C34" s="15" t="b">
        <v>1</v>
      </c>
      <c r="D34" s="26" t="s">
        <v>55</v>
      </c>
      <c r="E34" s="27">
        <v>92.5</v>
      </c>
    </row>
    <row r="35" spans="1:5" x14ac:dyDescent="0.25">
      <c r="A35" s="7" t="s">
        <v>56</v>
      </c>
      <c r="B35" s="6">
        <v>30</v>
      </c>
      <c r="C35" s="8" t="b">
        <v>0</v>
      </c>
      <c r="D35" s="14" t="s">
        <v>57</v>
      </c>
      <c r="E35" s="25">
        <v>90.5</v>
      </c>
    </row>
    <row r="36" spans="1:5" x14ac:dyDescent="0.25">
      <c r="A36" s="14" t="s">
        <v>56</v>
      </c>
      <c r="B36" s="13">
        <v>30</v>
      </c>
      <c r="C36" s="15" t="b">
        <v>1</v>
      </c>
      <c r="D36" s="14" t="s">
        <v>58</v>
      </c>
      <c r="E36" s="25">
        <v>90.5</v>
      </c>
    </row>
    <row r="38" spans="1:5" x14ac:dyDescent="0.25">
      <c r="C38" t="s">
        <v>59</v>
      </c>
    </row>
    <row r="39" spans="1:5" x14ac:dyDescent="0.25">
      <c r="C39" t="s">
        <v>60</v>
      </c>
    </row>
    <row r="41" spans="1:5" x14ac:dyDescent="0.25">
      <c r="A41" s="28" t="s">
        <v>61</v>
      </c>
      <c r="B41" s="29" t="s">
        <v>62</v>
      </c>
    </row>
    <row r="42" spans="1:5" x14ac:dyDescent="0.25">
      <c r="A42" s="28" t="s">
        <v>63</v>
      </c>
      <c r="B42" s="29" t="s">
        <v>64</v>
      </c>
    </row>
    <row r="43" spans="1:5" x14ac:dyDescent="0.25">
      <c r="A43" s="28" t="s">
        <v>12</v>
      </c>
      <c r="B43" s="29" t="s">
        <v>65</v>
      </c>
    </row>
    <row r="44" spans="1:5" x14ac:dyDescent="0.25">
      <c r="A44" s="28" t="s">
        <v>66</v>
      </c>
      <c r="B44" s="29" t="s">
        <v>67</v>
      </c>
    </row>
    <row r="45" spans="1:5" x14ac:dyDescent="0.25">
      <c r="A45" s="28" t="s">
        <v>68</v>
      </c>
      <c r="B45" s="29" t="s">
        <v>69</v>
      </c>
    </row>
    <row r="46" spans="1:5" x14ac:dyDescent="0.25">
      <c r="A46" s="28" t="s">
        <v>70</v>
      </c>
      <c r="B46" s="29" t="s">
        <v>69</v>
      </c>
    </row>
    <row r="47" spans="1:5" x14ac:dyDescent="0.25">
      <c r="A47" s="28" t="s">
        <v>71</v>
      </c>
      <c r="B47" s="29" t="s">
        <v>72</v>
      </c>
    </row>
    <row r="2406" spans="7:7" x14ac:dyDescent="0.25"/>
    <row r="2679" spans="7:7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dcterms:created xsi:type="dcterms:W3CDTF">2026-01-10T16:28:56Z</dcterms:created>
  <dcterms:modified xsi:type="dcterms:W3CDTF">2026-01-11T15:24:58Z</dcterms:modified>
</cp:coreProperties>
</file>